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Desktop\W1\"/>
    </mc:Choice>
  </mc:AlternateContent>
  <xr:revisionPtr revIDLastSave="0" documentId="13_ncr:1_{FCFA49BC-B8C9-43BB-986D-107FAB8B9EDF}" xr6:coauthVersionLast="47" xr6:coauthVersionMax="47" xr10:uidLastSave="{00000000-0000-0000-0000-000000000000}"/>
  <bookViews>
    <workbookView xWindow="-120" yWindow="-120" windowWidth="29040" windowHeight="15720" xr2:uid="{8B11CEFB-8885-47D9-AC55-E73FD9581400}"/>
  </bookViews>
  <sheets>
    <sheet name="LYOSNA" sheetId="1" r:id="rId1"/>
    <sheet name="FORMUL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  <c r="F3" i="1"/>
  <c r="G3" i="1"/>
  <c r="C4" i="1"/>
  <c r="C9" i="1" s="1"/>
  <c r="D4" i="1"/>
  <c r="F4" i="1"/>
  <c r="G4" i="1"/>
  <c r="C5" i="1"/>
  <c r="D5" i="1"/>
  <c r="F5" i="1"/>
  <c r="G5" i="1"/>
  <c r="C6" i="1"/>
  <c r="C10" i="1" s="1"/>
  <c r="C7" i="1"/>
  <c r="D7" i="1"/>
  <c r="F7" i="1"/>
  <c r="G7" i="1"/>
  <c r="B8" i="1"/>
  <c r="C8" i="1"/>
  <c r="E8" i="1"/>
  <c r="B9" i="1"/>
  <c r="E9" i="1"/>
  <c r="B10" i="1"/>
  <c r="E10" i="1"/>
  <c r="B11" i="1"/>
  <c r="E11" i="1"/>
  <c r="E10" i="2"/>
  <c r="B10" i="2"/>
  <c r="E9" i="2"/>
  <c r="B9" i="2"/>
  <c r="E8" i="2"/>
  <c r="B8" i="2"/>
  <c r="E7" i="2"/>
  <c r="C7" i="2"/>
  <c r="B7" i="2"/>
  <c r="C6" i="2"/>
  <c r="D6" i="2" s="1"/>
  <c r="F6" i="2" s="1"/>
  <c r="G6" i="2" s="1"/>
  <c r="C5" i="2"/>
  <c r="D5" i="2" s="1"/>
  <c r="F5" i="2" s="1"/>
  <c r="G5" i="2" s="1"/>
  <c r="C4" i="2"/>
  <c r="D4" i="2" s="1"/>
  <c r="F4" i="2" s="1"/>
  <c r="G4" i="2" s="1"/>
  <c r="C3" i="2"/>
  <c r="D3" i="2" s="1"/>
  <c r="F3" i="2" s="1"/>
  <c r="G3" i="2" s="1"/>
  <c r="C2" i="2"/>
  <c r="C10" i="2" s="1"/>
  <c r="C11" i="1" l="1"/>
  <c r="D6" i="1"/>
  <c r="D2" i="2"/>
  <c r="C8" i="2"/>
  <c r="C9" i="2"/>
  <c r="D10" i="1" l="1"/>
  <c r="D8" i="1"/>
  <c r="F6" i="1"/>
  <c r="D11" i="1"/>
  <c r="D9" i="1"/>
  <c r="D10" i="2"/>
  <c r="D9" i="2"/>
  <c r="D8" i="2"/>
  <c r="F2" i="2"/>
  <c r="D7" i="2"/>
  <c r="F10" i="1" l="1"/>
  <c r="G6" i="1"/>
  <c r="F11" i="1"/>
  <c r="F8" i="1"/>
  <c r="F9" i="1"/>
  <c r="F10" i="2"/>
  <c r="F9" i="2"/>
  <c r="F8" i="2"/>
  <c r="G2" i="2"/>
  <c r="F7" i="2"/>
  <c r="G11" i="1" l="1"/>
  <c r="G9" i="1"/>
  <c r="G10" i="1"/>
  <c r="G8" i="1"/>
  <c r="G10" i="2"/>
  <c r="G9" i="2"/>
  <c r="G8" i="2"/>
  <c r="G7" i="2"/>
</calcChain>
</file>

<file path=xl/sharedStrings.xml><?xml version="1.0" encoding="utf-8"?>
<sst xmlns="http://schemas.openxmlformats.org/spreadsheetml/2006/main" count="33" uniqueCount="17">
  <si>
    <t>PRODUCT</t>
  </si>
  <si>
    <t>SELLING PRICE</t>
  </si>
  <si>
    <t>LITRES SOLD</t>
  </si>
  <si>
    <t xml:space="preserve">TOTAL INCOME </t>
  </si>
  <si>
    <t>PROFIT</t>
  </si>
  <si>
    <t>Quench</t>
  </si>
  <si>
    <t xml:space="preserve"> Xtra</t>
  </si>
  <si>
    <t>Sun Splash</t>
  </si>
  <si>
    <t xml:space="preserve">Cascade   </t>
  </si>
  <si>
    <t>House Brand</t>
  </si>
  <si>
    <t>TOTAL</t>
  </si>
  <si>
    <t>HIGHEST</t>
  </si>
  <si>
    <t>LOWEST</t>
  </si>
  <si>
    <t>MARKUP PER ITEM 35%</t>
  </si>
  <si>
    <t>AVERAGE</t>
  </si>
  <si>
    <t>COST PRICE PER LITRE</t>
  </si>
  <si>
    <t>LYONS INC–OrangeJUICESales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</si>
</sst>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  <xf numFmtId="0" fontId="0" fillId="0" borderId="4" xfId="0" applyBorder="1"/>
    <xf numFmtId="2" fontId="0" fillId="0" borderId="4" xfId="0" applyNumberFormat="1" applyBorder="1"/>
    <xf numFmtId="0" fontId="0" fillId="0" borderId="5" xfId="0" applyBorder="1"/>
    <xf numFmtId="0" fontId="1" fillId="0" borderId="10" xfId="0" applyFont="1" applyBorder="1"/>
    <xf numFmtId="0" fontId="0" fillId="0" borderId="11" xfId="0" applyBorder="1"/>
    <xf numFmtId="164" fontId="0" fillId="0" borderId="11" xfId="0" applyNumberFormat="1" applyBorder="1"/>
    <xf numFmtId="2" fontId="0" fillId="0" borderId="11" xfId="0" applyNumberFormat="1" applyBorder="1"/>
    <xf numFmtId="0" fontId="0" fillId="0" borderId="12" xfId="0" applyBorder="1"/>
    <xf numFmtId="0" fontId="1" fillId="0" borderId="11" xfId="0" applyFont="1" applyBorder="1"/>
    <xf numFmtId="0" fontId="1" fillId="0" borderId="11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LYOSNA!$B$2</c:f>
              <c:strCache>
                <c:ptCount val="1"/>
                <c:pt idx="0">
                  <c:v>COST PRICE 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21-4F18-BF92-5FE6FF39D4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21-4F18-BF92-5FE6FF39D4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21-4F18-BF92-5FE6FF39D4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421-4F18-BF92-5FE6FF39D4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421-4F18-BF92-5FE6FF39D40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LYOSNA!$A$3:$A$11</c15:sqref>
                  </c15:fullRef>
                </c:ext>
              </c:extLst>
              <c:f>LYOSNA!$A$3:$A$7</c:f>
              <c:strCache>
                <c:ptCount val="5"/>
                <c:pt idx="0">
                  <c:v>Cascade   </c:v>
                </c:pt>
                <c:pt idx="1">
                  <c:v>Quench</c:v>
                </c:pt>
                <c:pt idx="2">
                  <c:v> 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LYOSNA!$B$3:$B$11</c15:sqref>
                  </c15:fullRef>
                </c:ext>
              </c:extLst>
              <c:f>LYOSNA!$B$3:$B$7</c:f>
              <c:numCache>
                <c:formatCode>General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DBB0-409D-A550-EB3ABB2730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LYOSNA!$C$2</c15:sqref>
                        </c15:formulaRef>
                      </c:ext>
                    </c:extLst>
                    <c:strCache>
                      <c:ptCount val="1"/>
                      <c:pt idx="0">
                        <c:v>MARKUP PER ITEM 35%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B-1421-4F18-BF92-5FE6FF39D40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D-1421-4F18-BF92-5FE6FF39D40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F-1421-4F18-BF92-5FE6FF39D40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1-1421-4F18-BF92-5FE6FF39D40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1421-4F18-BF92-5FE6FF39D40D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LYOSNA!$A$3:$A$11</c15:sqref>
                        </c15:fullRef>
                        <c15:formulaRef>
                          <c15:sqref>LYOSNA!$A$3:$A$7</c15:sqref>
                        </c15:formulaRef>
                      </c:ext>
                    </c:extLst>
                    <c:strCache>
                      <c:ptCount val="5"/>
                      <c:pt idx="0">
                        <c:v>Cascade   </c:v>
                      </c:pt>
                      <c:pt idx="1">
                        <c:v>Quench</c:v>
                      </c:pt>
                      <c:pt idx="2">
                        <c:v> Xtra</c:v>
                      </c:pt>
                      <c:pt idx="3">
                        <c:v>Sun Splash</c:v>
                      </c:pt>
                      <c:pt idx="4">
                        <c:v>House Brand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LYOSNA!$C$3:$C$11</c15:sqref>
                        </c15:fullRef>
                        <c15:formulaRef>
                          <c15:sqref>LYOSNA!$C$3:$C$7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1.3125</c:v>
                      </c:pt>
                      <c:pt idx="1">
                        <c:v>1.2774999999999999</c:v>
                      </c:pt>
                      <c:pt idx="2">
                        <c:v>1.4874999999999998</c:v>
                      </c:pt>
                      <c:pt idx="3">
                        <c:v>0.52499999999999991</c:v>
                      </c:pt>
                      <c:pt idx="4">
                        <c:v>0.52499999999999991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DBB0-409D-A550-EB3ABB273099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LYOSNA!$D$2</c15:sqref>
                        </c15:formulaRef>
                      </c:ext>
                    </c:extLst>
                    <c:strCache>
                      <c:ptCount val="1"/>
                      <c:pt idx="0">
                        <c:v>SELLING PRICE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1421-4F18-BF92-5FE6FF39D40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1421-4F18-BF92-5FE6FF39D40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1421-4F18-BF92-5FE6FF39D40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B-1421-4F18-BF92-5FE6FF39D40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D-1421-4F18-BF92-5FE6FF39D40D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LYOSNA!$A$3:$A$11</c15:sqref>
                        </c15:fullRef>
                        <c15:formulaRef>
                          <c15:sqref>LYOSNA!$A$3:$A$7</c15:sqref>
                        </c15:formulaRef>
                      </c:ext>
                    </c:extLst>
                    <c:strCache>
                      <c:ptCount val="5"/>
                      <c:pt idx="0">
                        <c:v>Cascade   </c:v>
                      </c:pt>
                      <c:pt idx="1">
                        <c:v>Quench</c:v>
                      </c:pt>
                      <c:pt idx="2">
                        <c:v> Xtra</c:v>
                      </c:pt>
                      <c:pt idx="3">
                        <c:v>Sun Splash</c:v>
                      </c:pt>
                      <c:pt idx="4">
                        <c:v>House Brand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LYOSNA!$D$3:$D$11</c15:sqref>
                        </c15:fullRef>
                        <c15:formulaRef>
                          <c15:sqref>LYOSNA!$D$3:$D$7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5.0625</c:v>
                      </c:pt>
                      <c:pt idx="1">
                        <c:v>4.9275000000000002</c:v>
                      </c:pt>
                      <c:pt idx="2">
                        <c:v>5.7374999999999998</c:v>
                      </c:pt>
                      <c:pt idx="3">
                        <c:v>2.0249999999999999</c:v>
                      </c:pt>
                      <c:pt idx="4">
                        <c:v>2.0249999999999999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2-DBB0-409D-A550-EB3ABB273099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LYOSNA!$E$2</c15:sqref>
                        </c15:formulaRef>
                      </c:ext>
                    </c:extLst>
                    <c:strCache>
                      <c:ptCount val="1"/>
                      <c:pt idx="0">
                        <c:v>LITRES SOLD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F-1421-4F18-BF92-5FE6FF39D40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1-1421-4F18-BF92-5FE6FF39D40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3-1421-4F18-BF92-5FE6FF39D40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5-1421-4F18-BF92-5FE6FF39D40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7-1421-4F18-BF92-5FE6FF39D40D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LYOSNA!$A$3:$A$11</c15:sqref>
                        </c15:fullRef>
                        <c15:formulaRef>
                          <c15:sqref>LYOSNA!$A$3:$A$7</c15:sqref>
                        </c15:formulaRef>
                      </c:ext>
                    </c:extLst>
                    <c:strCache>
                      <c:ptCount val="5"/>
                      <c:pt idx="0">
                        <c:v>Cascade   </c:v>
                      </c:pt>
                      <c:pt idx="1">
                        <c:v>Quench</c:v>
                      </c:pt>
                      <c:pt idx="2">
                        <c:v> Xtra</c:v>
                      </c:pt>
                      <c:pt idx="3">
                        <c:v>Sun Splash</c:v>
                      </c:pt>
                      <c:pt idx="4">
                        <c:v>House Brand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LYOSNA!$E$3:$E$11</c15:sqref>
                        </c15:fullRef>
                        <c15:formulaRef>
                          <c15:sqref>LYOSNA!$E$3:$E$7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234</c:v>
                      </c:pt>
                      <c:pt idx="1">
                        <c:v>345</c:v>
                      </c:pt>
                      <c:pt idx="2">
                        <c:v>456</c:v>
                      </c:pt>
                      <c:pt idx="3">
                        <c:v>123</c:v>
                      </c:pt>
                      <c:pt idx="4">
                        <c:v>245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3-DBB0-409D-A550-EB3ABB273099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LYOSNA!$F$2</c15:sqref>
                        </c15:formulaRef>
                      </c:ext>
                    </c:extLst>
                    <c:strCache>
                      <c:ptCount val="1"/>
                      <c:pt idx="0">
                        <c:v>TOTAL INCOME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9-1421-4F18-BF92-5FE6FF39D40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B-1421-4F18-BF92-5FE6FF39D40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D-1421-4F18-BF92-5FE6FF39D40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F-1421-4F18-BF92-5FE6FF39D40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1-1421-4F18-BF92-5FE6FF39D40D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LYOSNA!$A$3:$A$11</c15:sqref>
                        </c15:fullRef>
                        <c15:formulaRef>
                          <c15:sqref>LYOSNA!$A$3:$A$7</c15:sqref>
                        </c15:formulaRef>
                      </c:ext>
                    </c:extLst>
                    <c:strCache>
                      <c:ptCount val="5"/>
                      <c:pt idx="0">
                        <c:v>Cascade   </c:v>
                      </c:pt>
                      <c:pt idx="1">
                        <c:v>Quench</c:v>
                      </c:pt>
                      <c:pt idx="2">
                        <c:v> Xtra</c:v>
                      </c:pt>
                      <c:pt idx="3">
                        <c:v>Sun Splash</c:v>
                      </c:pt>
                      <c:pt idx="4">
                        <c:v>House Brand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LYOSNA!$F$3:$F$11</c15:sqref>
                        </c15:fullRef>
                        <c15:formulaRef>
                          <c15:sqref>LYOSNA!$F$3:$F$7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1184.625</c:v>
                      </c:pt>
                      <c:pt idx="1">
                        <c:v>1699.9875000000002</c:v>
                      </c:pt>
                      <c:pt idx="2">
                        <c:v>2616.2999999999997</c:v>
                      </c:pt>
                      <c:pt idx="3">
                        <c:v>249.07499999999999</c:v>
                      </c:pt>
                      <c:pt idx="4">
                        <c:v>496.125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4-DBB0-409D-A550-EB3ABB273099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LYOSNA!$G$2</c15:sqref>
                        </c15:formulaRef>
                      </c:ext>
                    </c:extLst>
                    <c:strCache>
                      <c:ptCount val="1"/>
                      <c:pt idx="0">
                        <c:v>PROFIT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3-1421-4F18-BF92-5FE6FF39D40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5-1421-4F18-BF92-5FE6FF39D40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7-1421-4F18-BF92-5FE6FF39D40D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9-1421-4F18-BF92-5FE6FF39D40D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B-1421-4F18-BF92-5FE6FF39D40D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LYOSNA!$A$3:$A$11</c15:sqref>
                        </c15:fullRef>
                        <c15:formulaRef>
                          <c15:sqref>LYOSNA!$A$3:$A$7</c15:sqref>
                        </c15:formulaRef>
                      </c:ext>
                    </c:extLst>
                    <c:strCache>
                      <c:ptCount val="5"/>
                      <c:pt idx="0">
                        <c:v>Cascade   </c:v>
                      </c:pt>
                      <c:pt idx="1">
                        <c:v>Quench</c:v>
                      </c:pt>
                      <c:pt idx="2">
                        <c:v> Xtra</c:v>
                      </c:pt>
                      <c:pt idx="3">
                        <c:v>Sun Splash</c:v>
                      </c:pt>
                      <c:pt idx="4">
                        <c:v>House Brand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LYOSNA!$G$3:$G$11</c15:sqref>
                        </c15:fullRef>
                        <c15:formulaRef>
                          <c15:sqref>LYOSNA!$G$3:$G$7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307.125</c:v>
                      </c:pt>
                      <c:pt idx="1">
                        <c:v>440.73750000000018</c:v>
                      </c:pt>
                      <c:pt idx="2">
                        <c:v>678.29999999999973</c:v>
                      </c:pt>
                      <c:pt idx="3">
                        <c:v>64.574999999999989</c:v>
                      </c:pt>
                      <c:pt idx="4">
                        <c:v>128.625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5-DBB0-409D-A550-EB3ABB27309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147637</xdr:rowOff>
    </xdr:from>
    <xdr:to>
      <xdr:col>13</xdr:col>
      <xdr:colOff>304800</xdr:colOff>
      <xdr:row>26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20A0E-BD4E-2FDF-39B8-594A913B5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152400</xdr:colOff>
      <xdr:row>4</xdr:row>
      <xdr:rowOff>104775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E8CE41-6A1F-C9B1-A3EA-CA6736C3C5EB}"/>
            </a:ext>
          </a:extLst>
        </xdr:cNvPr>
        <xdr:cNvSpPr txBox="1"/>
      </xdr:nvSpPr>
      <xdr:spPr>
        <a:xfrm>
          <a:off x="8610600" y="866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63D9-58CB-4DAB-B024-4157AAF0C365}">
  <dimension ref="A1:G11"/>
  <sheetViews>
    <sheetView tabSelected="1" workbookViewId="0">
      <selection activeCell="C29" sqref="C29"/>
    </sheetView>
  </sheetViews>
  <sheetFormatPr defaultRowHeight="15" x14ac:dyDescent="0.25"/>
  <cols>
    <col min="1" max="1" width="12.140625" bestFit="1" customWidth="1"/>
    <col min="2" max="2" width="24.140625" bestFit="1" customWidth="1"/>
    <col min="3" max="3" width="23.140625" customWidth="1"/>
    <col min="4" max="4" width="13.5703125" bestFit="1" customWidth="1"/>
    <col min="5" max="5" width="11.5703125" bestFit="1" customWidth="1"/>
    <col min="6" max="6" width="14.85546875" bestFit="1" customWidth="1"/>
  </cols>
  <sheetData>
    <row r="1" spans="1:7" ht="15.75" thickBot="1" x14ac:dyDescent="0.3">
      <c r="A1" s="23" t="s">
        <v>16</v>
      </c>
      <c r="B1" s="24"/>
      <c r="C1" s="24"/>
      <c r="D1" s="24"/>
      <c r="E1" s="24"/>
      <c r="F1" s="24"/>
      <c r="G1" s="25"/>
    </row>
    <row r="2" spans="1:7" ht="15.75" thickBot="1" x14ac:dyDescent="0.3">
      <c r="A2" s="15" t="s">
        <v>0</v>
      </c>
      <c r="B2" s="20" t="s">
        <v>15</v>
      </c>
      <c r="C2" s="21" t="s">
        <v>13</v>
      </c>
      <c r="D2" s="20" t="s">
        <v>1</v>
      </c>
      <c r="E2" s="20" t="s">
        <v>2</v>
      </c>
      <c r="F2" s="20" t="s">
        <v>3</v>
      </c>
      <c r="G2" s="22" t="s">
        <v>4</v>
      </c>
    </row>
    <row r="3" spans="1:7" x14ac:dyDescent="0.25">
      <c r="A3" s="2" t="s">
        <v>8</v>
      </c>
      <c r="B3" s="2">
        <v>3.75</v>
      </c>
      <c r="C3" s="2">
        <f>B3*0.35</f>
        <v>1.3125</v>
      </c>
      <c r="D3" s="2">
        <f>B3+C3</f>
        <v>5.0625</v>
      </c>
      <c r="E3" s="2">
        <v>234</v>
      </c>
      <c r="F3" s="2">
        <f>D3*E3</f>
        <v>1184.625</v>
      </c>
      <c r="G3" s="2">
        <f>F3-B3*E3</f>
        <v>307.125</v>
      </c>
    </row>
    <row r="4" spans="1:7" x14ac:dyDescent="0.25">
      <c r="A4" s="1" t="s">
        <v>5</v>
      </c>
      <c r="B4" s="1">
        <v>3.65</v>
      </c>
      <c r="C4" s="1">
        <f t="shared" ref="C4:C7" si="0">B4*0.35</f>
        <v>1.2774999999999999</v>
      </c>
      <c r="D4" s="1">
        <f t="shared" ref="D4:D7" si="1">B4+C4</f>
        <v>4.9275000000000002</v>
      </c>
      <c r="E4" s="1">
        <v>345</v>
      </c>
      <c r="F4" s="1">
        <f t="shared" ref="F4:F7" si="2">D4*E4</f>
        <v>1699.9875000000002</v>
      </c>
      <c r="G4" s="1">
        <f t="shared" ref="G4:G7" si="3">F4-B4*E4</f>
        <v>440.73750000000018</v>
      </c>
    </row>
    <row r="5" spans="1:7" x14ac:dyDescent="0.25">
      <c r="A5" s="1" t="s">
        <v>6</v>
      </c>
      <c r="B5" s="1">
        <v>4.25</v>
      </c>
      <c r="C5" s="1">
        <f t="shared" si="0"/>
        <v>1.4874999999999998</v>
      </c>
      <c r="D5" s="1">
        <f t="shared" si="1"/>
        <v>5.7374999999999998</v>
      </c>
      <c r="E5" s="1">
        <v>456</v>
      </c>
      <c r="F5" s="1">
        <f t="shared" si="2"/>
        <v>2616.2999999999997</v>
      </c>
      <c r="G5" s="1">
        <f t="shared" si="3"/>
        <v>678.29999999999973</v>
      </c>
    </row>
    <row r="6" spans="1:7" x14ac:dyDescent="0.25">
      <c r="A6" s="1" t="s">
        <v>7</v>
      </c>
      <c r="B6" s="1">
        <v>1.5</v>
      </c>
      <c r="C6" s="1">
        <f t="shared" si="0"/>
        <v>0.52499999999999991</v>
      </c>
      <c r="D6" s="1">
        <f t="shared" si="1"/>
        <v>2.0249999999999999</v>
      </c>
      <c r="E6" s="1">
        <v>123</v>
      </c>
      <c r="F6" s="1">
        <f t="shared" si="2"/>
        <v>249.07499999999999</v>
      </c>
      <c r="G6" s="1">
        <f t="shared" si="3"/>
        <v>64.574999999999989</v>
      </c>
    </row>
    <row r="7" spans="1:7" ht="15.75" thickBot="1" x14ac:dyDescent="0.3">
      <c r="A7" s="7" t="s">
        <v>9</v>
      </c>
      <c r="B7" s="7">
        <v>1.5</v>
      </c>
      <c r="C7" s="7">
        <f t="shared" si="0"/>
        <v>0.52499999999999991</v>
      </c>
      <c r="D7" s="7">
        <f t="shared" si="1"/>
        <v>2.0249999999999999</v>
      </c>
      <c r="E7" s="7">
        <v>245</v>
      </c>
      <c r="F7" s="7">
        <f t="shared" si="2"/>
        <v>496.125</v>
      </c>
      <c r="G7" s="7">
        <f t="shared" si="3"/>
        <v>128.625</v>
      </c>
    </row>
    <row r="8" spans="1:7" ht="15.75" thickBot="1" x14ac:dyDescent="0.3">
      <c r="A8" s="8" t="s">
        <v>10</v>
      </c>
      <c r="B8" s="9">
        <f>SUM(B3:B7)</f>
        <v>14.65</v>
      </c>
      <c r="C8" s="9">
        <f t="shared" ref="C8:G8" si="4">SUM(C3:C7)</f>
        <v>5.1274999999999995</v>
      </c>
      <c r="D8" s="9">
        <f t="shared" si="4"/>
        <v>19.777499999999996</v>
      </c>
      <c r="E8" s="10">
        <f t="shared" si="4"/>
        <v>1403</v>
      </c>
      <c r="F8" s="9">
        <f t="shared" si="4"/>
        <v>6246.1125000000002</v>
      </c>
      <c r="G8" s="11">
        <f t="shared" si="4"/>
        <v>1619.3625</v>
      </c>
    </row>
    <row r="9" spans="1:7" ht="15.75" thickBot="1" x14ac:dyDescent="0.3">
      <c r="A9" s="3" t="s">
        <v>11</v>
      </c>
      <c r="B9" s="12">
        <f>MAX(B3:B7)</f>
        <v>4.25</v>
      </c>
      <c r="C9" s="12">
        <f t="shared" ref="C9:G9" si="5">MAX(C3:C7)</f>
        <v>1.4874999999999998</v>
      </c>
      <c r="D9" s="12">
        <f t="shared" si="5"/>
        <v>5.7374999999999998</v>
      </c>
      <c r="E9" s="13">
        <f t="shared" si="5"/>
        <v>456</v>
      </c>
      <c r="F9" s="12">
        <f t="shared" si="5"/>
        <v>2616.2999999999997</v>
      </c>
      <c r="G9" s="14">
        <f t="shared" si="5"/>
        <v>678.29999999999973</v>
      </c>
    </row>
    <row r="10" spans="1:7" ht="15.75" thickBot="1" x14ac:dyDescent="0.3">
      <c r="A10" s="3" t="s">
        <v>12</v>
      </c>
      <c r="B10" s="12">
        <f>MIN(B3:B7)</f>
        <v>1.5</v>
      </c>
      <c r="C10" s="12">
        <f t="shared" ref="C10:G10" si="6">MIN(C3:C7)</f>
        <v>0.52499999999999991</v>
      </c>
      <c r="D10" s="12">
        <f t="shared" si="6"/>
        <v>2.0249999999999999</v>
      </c>
      <c r="E10" s="13">
        <f t="shared" si="6"/>
        <v>123</v>
      </c>
      <c r="F10" s="12">
        <f t="shared" si="6"/>
        <v>249.07499999999999</v>
      </c>
      <c r="G10" s="14">
        <f t="shared" si="6"/>
        <v>64.574999999999989</v>
      </c>
    </row>
    <row r="11" spans="1:7" ht="15.75" thickBot="1" x14ac:dyDescent="0.3">
      <c r="A11" s="15" t="s">
        <v>14</v>
      </c>
      <c r="B11" s="16">
        <f>AVERAGE(B3:B7)</f>
        <v>2.93</v>
      </c>
      <c r="C11" s="16">
        <f t="shared" ref="C11:G11" si="7">AVERAGE(C3:C7)</f>
        <v>1.0254999999999999</v>
      </c>
      <c r="D11" s="17">
        <f t="shared" si="7"/>
        <v>3.9554999999999993</v>
      </c>
      <c r="E11" s="18">
        <f t="shared" si="7"/>
        <v>280.60000000000002</v>
      </c>
      <c r="F11" s="16">
        <f t="shared" si="7"/>
        <v>1249.2225000000001</v>
      </c>
      <c r="G11" s="19">
        <f t="shared" si="7"/>
        <v>323.8725</v>
      </c>
    </row>
  </sheetData>
  <mergeCells count="1">
    <mergeCell ref="A1:G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8E0A-8CD4-47A2-99EE-842730BF9DC8}">
  <dimension ref="A1:G10"/>
  <sheetViews>
    <sheetView workbookViewId="0">
      <selection sqref="A1:G10"/>
    </sheetView>
  </sheetViews>
  <sheetFormatPr defaultRowHeight="15" x14ac:dyDescent="0.25"/>
  <sheetData>
    <row r="1" spans="1:7" ht="45.75" thickBot="1" x14ac:dyDescent="0.3">
      <c r="A1" s="3" t="s">
        <v>0</v>
      </c>
      <c r="B1" s="4" t="s">
        <v>15</v>
      </c>
      <c r="C1" s="5" t="s">
        <v>13</v>
      </c>
      <c r="D1" s="4" t="s">
        <v>1</v>
      </c>
      <c r="E1" s="4" t="s">
        <v>2</v>
      </c>
      <c r="F1" s="4" t="s">
        <v>3</v>
      </c>
      <c r="G1" s="6" t="s">
        <v>4</v>
      </c>
    </row>
    <row r="2" spans="1:7" x14ac:dyDescent="0.25">
      <c r="A2" s="2" t="s">
        <v>8</v>
      </c>
      <c r="B2" s="2">
        <v>3.75</v>
      </c>
      <c r="C2" s="2">
        <f>B2*0.35</f>
        <v>1.3125</v>
      </c>
      <c r="D2" s="2">
        <f>B2+C2</f>
        <v>5.0625</v>
      </c>
      <c r="E2" s="2">
        <v>234</v>
      </c>
      <c r="F2" s="2">
        <f>D2*E2</f>
        <v>1184.625</v>
      </c>
      <c r="G2" s="2">
        <f>F2-B2*E2</f>
        <v>307.125</v>
      </c>
    </row>
    <row r="3" spans="1:7" x14ac:dyDescent="0.25">
      <c r="A3" s="1" t="s">
        <v>5</v>
      </c>
      <c r="B3" s="1">
        <v>3.65</v>
      </c>
      <c r="C3" s="1">
        <f t="shared" ref="C3:C6" si="0">B3*0.35</f>
        <v>1.2774999999999999</v>
      </c>
      <c r="D3" s="1">
        <f t="shared" ref="D3:D6" si="1">B3+C3</f>
        <v>4.9275000000000002</v>
      </c>
      <c r="E3" s="1">
        <v>345</v>
      </c>
      <c r="F3" s="1">
        <f t="shared" ref="F3:F6" si="2">D3*E3</f>
        <v>1699.9875000000002</v>
      </c>
      <c r="G3" s="1">
        <f t="shared" ref="G3:G6" si="3">F3-B3*E3</f>
        <v>440.73750000000018</v>
      </c>
    </row>
    <row r="4" spans="1:7" x14ac:dyDescent="0.25">
      <c r="A4" s="1" t="s">
        <v>6</v>
      </c>
      <c r="B4" s="1">
        <v>4.25</v>
      </c>
      <c r="C4" s="1">
        <f t="shared" si="0"/>
        <v>1.4874999999999998</v>
      </c>
      <c r="D4" s="1">
        <f t="shared" si="1"/>
        <v>5.7374999999999998</v>
      </c>
      <c r="E4" s="1">
        <v>456</v>
      </c>
      <c r="F4" s="1">
        <f t="shared" si="2"/>
        <v>2616.2999999999997</v>
      </c>
      <c r="G4" s="1">
        <f t="shared" si="3"/>
        <v>678.29999999999973</v>
      </c>
    </row>
    <row r="5" spans="1:7" x14ac:dyDescent="0.25">
      <c r="A5" s="1" t="s">
        <v>7</v>
      </c>
      <c r="B5" s="1">
        <v>1.5</v>
      </c>
      <c r="C5" s="1">
        <f t="shared" si="0"/>
        <v>0.52499999999999991</v>
      </c>
      <c r="D5" s="1">
        <f t="shared" si="1"/>
        <v>2.0249999999999999</v>
      </c>
      <c r="E5" s="1">
        <v>123</v>
      </c>
      <c r="F5" s="1">
        <f t="shared" si="2"/>
        <v>249.07499999999999</v>
      </c>
      <c r="G5" s="1">
        <f t="shared" si="3"/>
        <v>64.574999999999989</v>
      </c>
    </row>
    <row r="6" spans="1:7" ht="15.75" thickBot="1" x14ac:dyDescent="0.3">
      <c r="A6" s="7" t="s">
        <v>9</v>
      </c>
      <c r="B6" s="7">
        <v>1.5</v>
      </c>
      <c r="C6" s="7">
        <f t="shared" si="0"/>
        <v>0.52499999999999991</v>
      </c>
      <c r="D6" s="7">
        <f t="shared" si="1"/>
        <v>2.0249999999999999</v>
      </c>
      <c r="E6" s="7">
        <v>245</v>
      </c>
      <c r="F6" s="7">
        <f t="shared" si="2"/>
        <v>496.125</v>
      </c>
      <c r="G6" s="7">
        <f t="shared" si="3"/>
        <v>128.625</v>
      </c>
    </row>
    <row r="7" spans="1:7" ht="15.75" thickBot="1" x14ac:dyDescent="0.3">
      <c r="A7" s="8" t="s">
        <v>10</v>
      </c>
      <c r="B7" s="9">
        <f>SUM(B2:B6)</f>
        <v>14.65</v>
      </c>
      <c r="C7" s="9">
        <f t="shared" ref="C7:G7" si="4">SUM(C2:C6)</f>
        <v>5.1274999999999995</v>
      </c>
      <c r="D7" s="9">
        <f t="shared" si="4"/>
        <v>19.777499999999996</v>
      </c>
      <c r="E7" s="10">
        <f t="shared" si="4"/>
        <v>1403</v>
      </c>
      <c r="F7" s="9">
        <f t="shared" si="4"/>
        <v>6246.1125000000002</v>
      </c>
      <c r="G7" s="11">
        <f t="shared" si="4"/>
        <v>1619.3625</v>
      </c>
    </row>
    <row r="8" spans="1:7" ht="15.75" thickBot="1" x14ac:dyDescent="0.3">
      <c r="A8" s="3" t="s">
        <v>11</v>
      </c>
      <c r="B8" s="12">
        <f>MAX(B2:B6)</f>
        <v>4.25</v>
      </c>
      <c r="C8" s="12">
        <f t="shared" ref="C8:G8" si="5">MAX(C2:C6)</f>
        <v>1.4874999999999998</v>
      </c>
      <c r="D8" s="12">
        <f t="shared" si="5"/>
        <v>5.7374999999999998</v>
      </c>
      <c r="E8" s="13">
        <f t="shared" si="5"/>
        <v>456</v>
      </c>
      <c r="F8" s="12">
        <f t="shared" si="5"/>
        <v>2616.2999999999997</v>
      </c>
      <c r="G8" s="14">
        <f t="shared" si="5"/>
        <v>678.29999999999973</v>
      </c>
    </row>
    <row r="9" spans="1:7" ht="15.75" thickBot="1" x14ac:dyDescent="0.3">
      <c r="A9" s="3" t="s">
        <v>12</v>
      </c>
      <c r="B9" s="12">
        <f>MIN(B2:B6)</f>
        <v>1.5</v>
      </c>
      <c r="C9" s="12">
        <f t="shared" ref="C9:G9" si="6">MIN(C2:C6)</f>
        <v>0.52499999999999991</v>
      </c>
      <c r="D9" s="12">
        <f t="shared" si="6"/>
        <v>2.0249999999999999</v>
      </c>
      <c r="E9" s="13">
        <f t="shared" si="6"/>
        <v>123</v>
      </c>
      <c r="F9" s="12">
        <f t="shared" si="6"/>
        <v>249.07499999999999</v>
      </c>
      <c r="G9" s="14">
        <f t="shared" si="6"/>
        <v>64.574999999999989</v>
      </c>
    </row>
    <row r="10" spans="1:7" ht="15.75" thickBot="1" x14ac:dyDescent="0.3">
      <c r="A10" s="15" t="s">
        <v>14</v>
      </c>
      <c r="B10" s="16">
        <f>AVERAGE(B2:B6)</f>
        <v>2.93</v>
      </c>
      <c r="C10" s="16">
        <f t="shared" ref="C10:G10" si="7">AVERAGE(C2:C6)</f>
        <v>1.0254999999999999</v>
      </c>
      <c r="D10" s="17">
        <f t="shared" si="7"/>
        <v>3.9554999999999993</v>
      </c>
      <c r="E10" s="18">
        <f t="shared" si="7"/>
        <v>280.60000000000002</v>
      </c>
      <c r="F10" s="16">
        <f t="shared" si="7"/>
        <v>1249.2225000000001</v>
      </c>
      <c r="G10" s="19">
        <f t="shared" si="7"/>
        <v>323.8725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LYOSNA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2026-08-19T06:24:12Z</dcterms:created>
  <dcterms:modified xsi:type="dcterms:W3CDTF">2026-08-20T09:31:20Z</dcterms:modified>
</cp:coreProperties>
</file>