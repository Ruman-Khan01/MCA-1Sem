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D\Desktop\"/>
    </mc:Choice>
  </mc:AlternateContent>
  <xr:revisionPtr revIDLastSave="0" documentId="8_{A9D8FC89-05E6-4588-9D3E-F6E755CA25B5}" xr6:coauthVersionLast="47" xr6:coauthVersionMax="47" xr10:uidLastSave="{00000000-0000-0000-0000-000000000000}"/>
  <bookViews>
    <workbookView xWindow="-120" yWindow="-120" windowWidth="20730" windowHeight="11040" xr2:uid="{CCC8496F-343A-4C54-B0B8-EFD9DC5DDD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0" i="1" l="1"/>
  <c r="D8" i="1"/>
  <c r="D6" i="1"/>
  <c r="B10" i="1"/>
  <c r="B7" i="1"/>
  <c r="B6" i="1"/>
  <c r="D11" i="1" l="1"/>
</calcChain>
</file>

<file path=xl/sharedStrings.xml><?xml version="1.0" encoding="utf-8"?>
<sst xmlns="http://schemas.openxmlformats.org/spreadsheetml/2006/main" count="22" uniqueCount="21">
  <si>
    <t>EMPLOYEE</t>
  </si>
  <si>
    <t>JP MORGAN</t>
  </si>
  <si>
    <t>STAFF NO</t>
  </si>
  <si>
    <t>DATE</t>
  </si>
  <si>
    <t>NEXT PAY DATE</t>
  </si>
  <si>
    <t>31 APRIL 2026</t>
  </si>
  <si>
    <t>BASIC SALARY p.a.</t>
  </si>
  <si>
    <t>INCOME</t>
  </si>
  <si>
    <t>AMOUNT</t>
  </si>
  <si>
    <t>DEDUCTION</t>
  </si>
  <si>
    <t>BASIC SALARY</t>
  </si>
  <si>
    <t>HOUSING SUBSIDY</t>
  </si>
  <si>
    <t>VEHICLE ALLOWENCE</t>
  </si>
  <si>
    <t>MEDICAL AID</t>
  </si>
  <si>
    <t>GROSS INCOME</t>
  </si>
  <si>
    <t>PENSION @8%</t>
  </si>
  <si>
    <t>P.A.Y.E</t>
  </si>
  <si>
    <t>U.I.F</t>
  </si>
  <si>
    <t>BOND REPAYMENT</t>
  </si>
  <si>
    <t>TOTAL DEDUCTION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</si>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</sst>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0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30DA6-B9AA-463A-BA98-05AC2BF04A52}">
  <dimension ref="A1:D11"/>
  <sheetViews>
    <sheetView tabSelected="1" workbookViewId="0">
      <selection activeCell="C14" sqref="C14"/>
    </sheetView>
  </sheetViews>
  <sheetFormatPr defaultRowHeight="15" x14ac:dyDescent="0.25"/>
  <cols>
    <col min="1" max="1" width="19.7109375" bestFit="1" customWidth="1"/>
    <col min="2" max="2" width="11.5703125" bestFit="1" customWidth="1"/>
    <col min="3" max="3" width="17.7109375" bestFit="1" customWidth="1"/>
    <col min="4" max="4" width="12.85546875" bestFit="1" customWidth="1"/>
  </cols>
  <sheetData>
    <row r="1" spans="1:4" x14ac:dyDescent="0.25">
      <c r="A1" s="1" t="s">
        <v>0</v>
      </c>
      <c r="B1" t="s">
        <v>1</v>
      </c>
      <c r="C1" s="1" t="s">
        <v>2</v>
      </c>
      <c r="D1">
        <v>4</v>
      </c>
    </row>
    <row r="2" spans="1:4" x14ac:dyDescent="0.25">
      <c r="A2" s="1" t="s">
        <v>3</v>
      </c>
      <c r="B2" s="2">
        <v>46111</v>
      </c>
      <c r="C2" s="1" t="s">
        <v>4</v>
      </c>
      <c r="D2" t="s">
        <v>5</v>
      </c>
    </row>
    <row r="3" spans="1:4" x14ac:dyDescent="0.25">
      <c r="A3" s="1" t="s">
        <v>6</v>
      </c>
      <c r="B3" s="4">
        <v>31200</v>
      </c>
    </row>
    <row r="5" spans="1:4" x14ac:dyDescent="0.25">
      <c r="A5" s="1" t="s">
        <v>7</v>
      </c>
      <c r="B5" s="4" t="s">
        <v>8</v>
      </c>
      <c r="C5" s="4" t="s">
        <v>9</v>
      </c>
      <c r="D5" s="4" t="s">
        <v>8</v>
      </c>
    </row>
    <row r="6" spans="1:4" x14ac:dyDescent="0.25">
      <c r="A6" s="3" t="s">
        <v>10</v>
      </c>
      <c r="B6" s="4">
        <f>31200/12</f>
        <v>2600</v>
      </c>
      <c r="C6" s="3" t="s">
        <v>15</v>
      </c>
      <c r="D6" s="4">
        <f>2600*0.08</f>
        <v>208</v>
      </c>
    </row>
    <row r="7" spans="1:4" x14ac:dyDescent="0.25">
      <c r="A7" s="3" t="s">
        <v>11</v>
      </c>
      <c r="B7" s="4">
        <f>6000/12</f>
        <v>500</v>
      </c>
      <c r="C7" s="3" t="s">
        <v>16</v>
      </c>
      <c r="D7" s="4">
        <v>636.83000000000004</v>
      </c>
    </row>
    <row r="8" spans="1:4" x14ac:dyDescent="0.25">
      <c r="A8" s="3" t="s">
        <v>12</v>
      </c>
      <c r="B8" s="4">
        <v>100</v>
      </c>
      <c r="C8" s="3" t="s">
        <v>17</v>
      </c>
      <c r="D8" s="4">
        <f>2600*0.01+500</f>
        <v>526</v>
      </c>
    </row>
    <row r="9" spans="1:4" x14ac:dyDescent="0.25">
      <c r="A9" s="3" t="s">
        <v>13</v>
      </c>
      <c r="B9" s="4">
        <v>70</v>
      </c>
      <c r="C9" s="3" t="s">
        <v>18</v>
      </c>
      <c r="D9" s="4">
        <v>636</v>
      </c>
    </row>
    <row r="10" spans="1:4" x14ac:dyDescent="0.25">
      <c r="A10" s="3" t="s">
        <v>14</v>
      </c>
      <c r="B10" s="4">
        <f>SUM(B6:B9)</f>
        <v>3270</v>
      </c>
      <c r="C10" s="3" t="s">
        <v>19</v>
      </c>
      <c r="D10" s="4">
        <f>SUM(D6:D9)</f>
        <v>2006.83</v>
      </c>
    </row>
    <row r="11" spans="1:4" x14ac:dyDescent="0.25">
      <c r="C11" t="s">
        <v>20</v>
      </c>
      <c r="D11" s="4">
        <f>B10-D10</f>
        <v>1263.17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dcterms:created xsi:type="dcterms:W3CDTF">2026-08-18T07:33:34Z</dcterms:created>
  <dcterms:modified xsi:type="dcterms:W3CDTF">2026-08-18T08:00:18Z</dcterms:modified>
</cp:coreProperties>
</file>